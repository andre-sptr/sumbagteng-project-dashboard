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t\Downloads\Telegram Desktop\"/>
    </mc:Choice>
  </mc:AlternateContent>
  <xr:revisionPtr revIDLastSave="0" documentId="8_{0A0824DD-066B-4449-ABAD-4E79F629CDC2}" xr6:coauthVersionLast="47" xr6:coauthVersionMax="47" xr10:uidLastSave="{00000000-0000-0000-0000-000000000000}"/>
  <bookViews>
    <workbookView xWindow="-120" yWindow="-120" windowWidth="24240" windowHeight="13740" xr2:uid="{C36111A9-A8A7-1542-9C48-4597CF5C67FF}"/>
  </bookViews>
  <sheets>
    <sheet name="BoQ" sheetId="1" r:id="rId1"/>
  </sheets>
  <definedNames>
    <definedName name="_xlnm._FilterDatabase" localSheetId="0" hidden="1">BoQ!$A$6:$WZA$64</definedName>
    <definedName name="_xlnm.Print_Area" localSheetId="0">BoQ!$A$1:$K$63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I60" i="1"/>
  <c r="H60" i="1"/>
  <c r="J60" i="1" s="1"/>
  <c r="I59" i="1"/>
  <c r="H59" i="1"/>
  <c r="I58" i="1"/>
  <c r="H58" i="1"/>
  <c r="J58" i="1" s="1"/>
  <c r="I57" i="1"/>
  <c r="H57" i="1"/>
  <c r="I56" i="1"/>
  <c r="H56" i="1"/>
  <c r="J56" i="1" s="1"/>
  <c r="I55" i="1"/>
  <c r="H55" i="1"/>
  <c r="I54" i="1"/>
  <c r="H54" i="1"/>
  <c r="J54" i="1" s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G62" i="1"/>
  <c r="G61" i="1"/>
  <c r="J29" i="1" l="1"/>
  <c r="J33" i="1"/>
  <c r="J41" i="1"/>
  <c r="J45" i="1"/>
  <c r="J49" i="1"/>
  <c r="J57" i="1"/>
  <c r="J55" i="1"/>
  <c r="J59" i="1"/>
  <c r="J24" i="1"/>
  <c r="J36" i="1"/>
  <c r="J40" i="1"/>
  <c r="J48" i="1"/>
  <c r="J34" i="1"/>
  <c r="J46" i="1"/>
  <c r="J51" i="1"/>
  <c r="J26" i="1"/>
  <c r="J38" i="1"/>
  <c r="J27" i="1"/>
  <c r="J31" i="1"/>
  <c r="J43" i="1"/>
  <c r="J28" i="1"/>
  <c r="J39" i="1"/>
  <c r="J44" i="1"/>
  <c r="J52" i="1"/>
  <c r="J22" i="1"/>
  <c r="J23" i="1"/>
  <c r="J42" i="1"/>
  <c r="J35" i="1"/>
  <c r="J47" i="1"/>
  <c r="J30" i="1"/>
  <c r="J37" i="1"/>
  <c r="J25" i="1"/>
  <c r="J32" i="1"/>
  <c r="J50" i="1"/>
  <c r="J53" i="1"/>
  <c r="G63" i="1"/>
  <c r="I21" i="1" l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J9" i="1" l="1"/>
  <c r="J8" i="1"/>
  <c r="J11" i="1"/>
  <c r="J15" i="1"/>
  <c r="J17" i="1"/>
  <c r="J16" i="1"/>
  <c r="J20" i="1"/>
  <c r="J21" i="1"/>
  <c r="J10" i="1"/>
  <c r="J14" i="1"/>
  <c r="J18" i="1"/>
  <c r="J19" i="1"/>
  <c r="J12" i="1"/>
  <c r="J13" i="1"/>
  <c r="H7" i="1"/>
  <c r="H61" i="1" s="1"/>
  <c r="I7" i="1"/>
  <c r="H62" i="1" s="1"/>
  <c r="J7" i="1" l="1"/>
  <c r="H63" i="1" l="1"/>
  <c r="J64" i="1" l="1"/>
</calcChain>
</file>

<file path=xl/sharedStrings.xml><?xml version="1.0" encoding="utf-8"?>
<sst xmlns="http://schemas.openxmlformats.org/spreadsheetml/2006/main" count="183" uniqueCount="137">
  <si>
    <t>VOL</t>
  </si>
  <si>
    <t>KETERANGAN</t>
  </si>
  <si>
    <t>NO</t>
  </si>
  <si>
    <t>DESIGNATOR</t>
  </si>
  <si>
    <t>URAIAN  PEKERJAAN</t>
  </si>
  <si>
    <t>SATUAN</t>
  </si>
  <si>
    <t>TOTAL HARGA (Rp.)</t>
  </si>
  <si>
    <t>MATERIAL</t>
  </si>
  <si>
    <t>JASA</t>
  </si>
  <si>
    <t>TOTAL</t>
  </si>
  <si>
    <t>A</t>
  </si>
  <si>
    <t>meter</t>
  </si>
  <si>
    <t>AC-OF-SM-12-SC</t>
  </si>
  <si>
    <t>SC-OF-SM-24</t>
  </si>
  <si>
    <t>pcs</t>
  </si>
  <si>
    <t>OS-SM-1</t>
  </si>
  <si>
    <t>Penyambungan Kabel Optik Single Mode kap 1 core dengan cara fusion splice</t>
  </si>
  <si>
    <t>PS-1-4-ODC</t>
  </si>
  <si>
    <t>PS-1-8-ODP</t>
  </si>
  <si>
    <t>ODP-Solid-PB-8</t>
  </si>
  <si>
    <t>ODP-Solid-PB-16</t>
  </si>
  <si>
    <t>SW-BG-3/8"</t>
  </si>
  <si>
    <t>TR-S-CLAMP</t>
  </si>
  <si>
    <t>COOKER-PVC-1</t>
  </si>
  <si>
    <t>COOKER-CLAMP</t>
  </si>
  <si>
    <t>DS-CLAMP</t>
  </si>
  <si>
    <t>Checking Availability core di ODP eksisting</t>
  </si>
  <si>
    <t>Klem Beugel Tebal 5 mm, lebar 5 cm</t>
  </si>
  <si>
    <t>Trimbel</t>
  </si>
  <si>
    <t>HARGA SATUAN INFRASTRUKTUR PEKERJAAN PROVISIONING TYPE-2 (PT-2) SIMPLE</t>
  </si>
  <si>
    <t>PP-OF-IN</t>
  </si>
  <si>
    <t>Pengadaan dan pemasangan pipe protector indoor cable (PVC White) High Impact Conduit 20mm</t>
  </si>
  <si>
    <t>DD-S3-1</t>
  </si>
  <si>
    <t>Pengadaan dan pemasangan Pipa Besi Diameter 100 mm dan ketebalan pipa 3,65 mm untuk crossing 1 pipa  bentang ≤ 6 meter</t>
  </si>
  <si>
    <t>DD-V4-1</t>
  </si>
  <si>
    <t>Pengadan dan Pemasangan Pipa Duct PVC diameter dalam 100 mm, ketebalan 4 mm, 1 pipa termasuk pengecoran</t>
  </si>
  <si>
    <t>DCD-PVC-1</t>
  </si>
  <si>
    <t>Pengadaan dan Pemasangan Duct Cable Penanggal diameter pipa PVC 2 inch (Class AW) 1  pipa</t>
  </si>
  <si>
    <t>DD-ROD</t>
  </si>
  <si>
    <t>Pekerjaan Pembersihan pada route Duct yang kosong / Rodding Duct Existing.</t>
  </si>
  <si>
    <t>Klem HDPE</t>
  </si>
  <si>
    <t>Pengkleman HDPE di dinding beton dengan klem ketebalan 2mm lebar 2,5 cm menggunakan dynabolt termasuk rekondisi atau perbaikan kerusakan</t>
  </si>
  <si>
    <t>BC-TR-0.4</t>
  </si>
  <si>
    <t>Pekerjaan Galian, Pengurugan kembali dan perbaikan kembali, pengisian pasir, warning tape dan tanda rute kabel serta tempat sambung kedalaman 0.4 meter</t>
  </si>
  <si>
    <t>BC-TR-0.6</t>
  </si>
  <si>
    <t>Pekerjaan Galian, Pengurugan kembali dan perbaikan kembali, pengisian pasir, warning tape dan tanda rute kabel serta tempat sambung, kedalaman 0,6 meter</t>
  </si>
  <si>
    <t>HH-PIT-P-HA</t>
  </si>
  <si>
    <t>Pekerjaan Pembuatan HH Pit Portable Home Access  beserta aksesorisnya</t>
  </si>
  <si>
    <t>HH-PIT-P-ODP</t>
  </si>
  <si>
    <t>Pekerjaan Pembuatan HH Pit Portable ODP beserta aksesorisnya</t>
  </si>
  <si>
    <t>DD-HDPE-40-1</t>
  </si>
  <si>
    <t>Pengadaan dan Pemasangan Pipa  HDPE 40/33 mm 1 Pipa dengan kedalaman 1,5 Meter</t>
  </si>
  <si>
    <t>Meter</t>
  </si>
  <si>
    <t>LME-AP-Indoor</t>
  </si>
  <si>
    <t>Pemasangan Access Point terdiri dari :AP logical Setting, UTPcat6 (1 AP=50 m), RJ45 cat6 (4 pieces per AP) , Klem cable, Power Cable NYM(1 AP=1.5 m; power outlet 1 piece), Tray Cable (PVC cable duct) , Labelling &amp; Sticker</t>
  </si>
  <si>
    <t>paket</t>
  </si>
  <si>
    <t xml:space="preserve">UTP CAT 6 </t>
  </si>
  <si>
    <t>Material kabel UTP CAT 6</t>
  </si>
  <si>
    <t>RJ 45 CAT 6</t>
  </si>
  <si>
    <t>ACPDB-Box-out</t>
  </si>
  <si>
    <t>Box panel outdoor (40x60x20)</t>
  </si>
  <si>
    <t>GC-NYAF-16</t>
  </si>
  <si>
    <t>Kabel Grounding NYAF 16 mm</t>
  </si>
  <si>
    <t>Drop Cable FO 1 Core Single Mode G.657</t>
  </si>
  <si>
    <t>PU-S7.0-140</t>
  </si>
  <si>
    <t>Pengadaan dan Pemasangan Tiang Besi 7 Meter, Berikut cat &amp; cor Pondasi dan aksesoris dengan Kekuatan Tarik 140 kg</t>
  </si>
  <si>
    <t>Btg</t>
  </si>
  <si>
    <t>PC-UPC-652-2</t>
  </si>
  <si>
    <t>PC-UPC-652-A1</t>
  </si>
  <si>
    <t>PT2S</t>
  </si>
  <si>
    <t>Core</t>
  </si>
  <si>
    <t>Pengadaan dan pemasangan Passive Splitter 1:8, type modular SC/UPC, for ODC, termasuk pigtail</t>
  </si>
  <si>
    <t>Pcs</t>
  </si>
  <si>
    <t xml:space="preserve">Pengadaan dan pemasangan Passive Splitter 1:4, type modular SC/UPC, for ODP, termasuk pigtail </t>
  </si>
  <si>
    <t>Pengadaan dan pemasangan ODP type SOLID Kap 8 core adaptor SC/UPC terdiri dari 1 Box. Spliter (termasuk 1 spliter 1:8), 1 Box Dummy beserta Accessories, berikut pelabelan dan penempelan QR code (disediakan oleh Telkom)</t>
  </si>
  <si>
    <t>Pengadaan dan pemasangan ODP type SOLID Kap 16 core adaptor SC/UPC terdiri dari 2 Box. Spliter (termasuk 2 spliter 1:8) beserta Accessories, berikut pelabelan dan penempelan QR code (disediakan oleh Telkom)</t>
  </si>
  <si>
    <t>Survey PT2</t>
  </si>
  <si>
    <t>Ls</t>
  </si>
  <si>
    <t xml:space="preserve"> PC-UPC-657-2</t>
  </si>
  <si>
    <t>Patch cord 2 Meter material pelengkap NTE refurbished - Patch Cord 2 meter, (SC-UPC to SCUPC), G.657</t>
  </si>
  <si>
    <t xml:space="preserve"> BE-CLAMP</t>
  </si>
  <si>
    <t xml:space="preserve"> Buldog Grip 8-10 mm &amp; Span wartel 3/8 inch</t>
  </si>
  <si>
    <t>Cooker - Pipa PVC 2 Inch di Cat Warna Perak Ketebalan 2,4 mm, Tipe selang PVC : AW ( 10 Kg/cm ² )</t>
  </si>
  <si>
    <t>Klem Cooker/ Guide Ring - Bahan Besi Plat 2,5 –3 mm dicat warna Perak</t>
  </si>
  <si>
    <t xml:space="preserve">Klem Kable Udara </t>
  </si>
  <si>
    <t>AC-OF-SM-12D</t>
  </si>
  <si>
    <t>PENGADAAN DAN PEMASANGAN KABEL UDARA FIBER OPTIK SINGLE MODE 12 CORE G 652 D</t>
  </si>
  <si>
    <t>Mtr</t>
  </si>
  <si>
    <t xml:space="preserve">PENGADAAN DAN PEMASANGAN KABEL UDARA FIBER OPTIK SINGLE MODE 12 CORE G 652 D, "EASY TO SPLIT" </t>
  </si>
  <si>
    <t>PENGADAAN ALAT SAMBUNG (CABANG/ LURUS) UNTUK FIBER OPTIK KAPASITAS 12 - 24 CORE</t>
  </si>
  <si>
    <t>AC-OF-SM-ADSS-12D</t>
  </si>
  <si>
    <t>Pengadaan dan Pemasangan Kabel Udara Fiber Optik All Dieletric Self Supporting Cable (ADSS) Single Mode 12 Core G.652.D</t>
  </si>
  <si>
    <t>PENGADAAN PATCH CORD 2 METER, (FC/LC/SC-UPC TO FC/LC/SC-UPC), G.652D</t>
  </si>
  <si>
    <t>ADDITIONAL PATCH CORD, G.652D</t>
  </si>
  <si>
    <t>PU-S9.0-140</t>
  </si>
  <si>
    <t>Pengadaan dan Pemasangan Tiang Besi 9 meter, berikut cat &amp; cor dan assesories dengan kekuatan tarik 140 kg</t>
  </si>
  <si>
    <t>Unit</t>
  </si>
  <si>
    <t xml:space="preserve">meter </t>
  </si>
  <si>
    <t xml:space="preserve">pcs </t>
  </si>
  <si>
    <t>Drop Core (3 Sling)</t>
  </si>
  <si>
    <t xml:space="preserve">PU-G6.0-35kg </t>
  </si>
  <si>
    <t xml:space="preserve">Pengadaen den Pemasangan Tieng Besl Galvanls 6m tanpa sambungan, berlkut cat dan cor pondesl (1:2:3) dengan kekuetan tank 35kg </t>
  </si>
  <si>
    <t xml:space="preserve">PU-S7.0-400NM </t>
  </si>
  <si>
    <t xml:space="preserve">Pengadaan dan Pemasangan Tiang Besi Telekomunikasi 7 Meter dengan 2 Segmen untuk Kabel Distribusi berikut Cat &amp; Cor Pondasi (1:2:3) dengan Kekuatan Tarik 400 Newton Meter </t>
  </si>
  <si>
    <t>PL-RING</t>
  </si>
  <si>
    <t>PENGADAAN DAN PEMASANGAN POLE STRAP RING</t>
  </si>
  <si>
    <t>Bh</t>
  </si>
  <si>
    <t>S-CLAMP</t>
  </si>
  <si>
    <t>S-Clamp pada tiang</t>
  </si>
  <si>
    <t>Buah</t>
  </si>
  <si>
    <t>AC-OF-SM-1-3SL</t>
  </si>
  <si>
    <t>Drop core cable 3 seling</t>
  </si>
  <si>
    <t>J-PU-S7.0-140</t>
  </si>
  <si>
    <t>Jasa Pemasangan Tiang Besi 7 Meter hasil refurbish, berikut cat dan cor pondasi dengan kekuatan Tarik 140kg</t>
  </si>
  <si>
    <t>J-DC-AE-G657-1</t>
  </si>
  <si>
    <t>Jasa Pemasangan DROP CABLE FO atas tanah/Aeria, 1 Core Single Mode G.657 hasil refurbish</t>
  </si>
  <si>
    <t>PROTECTION SLEEVE</t>
  </si>
  <si>
    <t xml:space="preserve">Pengadaan dan Pemasangan Protection Sleeve ukuran 60 mm x 3 mm tipe 1 core yang digunakan untuk melapisi ujung-ujung serat optik yang dihubungkan </t>
  </si>
  <si>
    <t>Clamp Hook</t>
  </si>
  <si>
    <t>Pengadaan dan Pemasangan Clamp Hook</t>
  </si>
  <si>
    <t>Cable Ties</t>
  </si>
  <si>
    <t>Pengadaan dan Pemasangan Cable ties</t>
  </si>
  <si>
    <t xml:space="preserve">Jasa Pemasangan DROP CABLE FO atas tanah/Aerial, 1 Core Single Mode G.657 hasil refurbish </t>
  </si>
  <si>
    <t>M-DC-SOC</t>
  </si>
  <si>
    <t>Pengadaan dan Pemasangan Adaptor Splice On Connector (SOC)</t>
  </si>
  <si>
    <t>M-OTP</t>
  </si>
  <si>
    <t>PENGADAAN DAN PEMASANGAN OPTICAL TERMINATION POINT 1 CORE</t>
  </si>
  <si>
    <t>M-PR-IN-RS</t>
  </si>
  <si>
    <t>Pengadaaan dan Pemasangan Precon KSO Indoor Transparant Sudah Termasuk Roset</t>
  </si>
  <si>
    <t>set</t>
  </si>
  <si>
    <t>M-PR-IN-DC</t>
  </si>
  <si>
    <t>Precon DC 10 meter</t>
  </si>
  <si>
    <t>Tali Tambang nilon</t>
  </si>
  <si>
    <t>Pengadaan dan Pemasangan Tali Tambang Nilon</t>
  </si>
  <si>
    <t>HARGA SATUAN (PAKET-2)</t>
  </si>
  <si>
    <t>STO : DUM</t>
  </si>
  <si>
    <t>PROJECT : RDR DUM PT2 POLRES DUMAI BAGAN SIUM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</si>
</sst>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#,##0\ ;&quot; (&quot;#,##0\);&quot; -&quot;#\ ;@\ "/>
    <numFmt numFmtId="168" formatCode="#,##0.00\ ;&quot; (&quot;#,##0.00\);&quot; -&quot;#\ ;@\ "/>
    <numFmt numFmtId="169" formatCode="_(* #,##0.0000_);_(* \(#,##0.0000\);_(* &quot;-&quot;??_);_(@_)"/>
    <numFmt numFmtId="170" formatCode="_-* #,##0.00_-;\-* #,##0.00_-;_-* &quot;-&quot;_-;_-@_-"/>
  </numFmts>
  <fonts count="2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theme="1"/>
      <name val="Arial Narrow"/>
      <family val="2"/>
    </font>
    <font>
      <sz val="10"/>
      <color indexed="8"/>
      <name val="Arial Narrow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6" fillId="0" borderId="0"/>
    <xf numFmtId="0" fontId="9" fillId="0" borderId="0">
      <alignment vertical="top"/>
    </xf>
    <xf numFmtId="165" fontId="12" fillId="0" borderId="0" applyFont="0" applyFill="0" applyBorder="0" applyAlignment="0" applyProtection="0"/>
    <xf numFmtId="0" fontId="9" fillId="0" borderId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43" fontId="4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17" fillId="0" borderId="0"/>
    <xf numFmtId="0" fontId="3" fillId="0" borderId="0"/>
    <xf numFmtId="165" fontId="4" fillId="0" borderId="0" applyFont="0" applyFill="0" applyBorder="0" applyAlignment="0" applyProtection="0"/>
    <xf numFmtId="0" fontId="17" fillId="0" borderId="0"/>
    <xf numFmtId="0" fontId="2" fillId="0" borderId="0"/>
    <xf numFmtId="0" fontId="1" fillId="0" borderId="0"/>
  </cellStyleXfs>
  <cellXfs count="51">
    <xf numFmtId="0" fontId="0" fillId="0" borderId="0" xfId="0"/>
    <xf numFmtId="0" fontId="6" fillId="0" borderId="0" xfId="1"/>
    <xf numFmtId="166" fontId="6" fillId="0" borderId="0" xfId="1" applyNumberFormat="1"/>
    <xf numFmtId="166" fontId="6" fillId="0" borderId="0" xfId="1" applyNumberFormat="1" applyAlignment="1">
      <alignment horizontal="center" vertical="center"/>
    </xf>
    <xf numFmtId="0" fontId="7" fillId="0" borderId="0" xfId="1" applyFont="1"/>
    <xf numFmtId="0" fontId="8" fillId="0" borderId="0" xfId="0" applyFont="1" applyAlignment="1">
      <alignment horizontal="left" vertical="center" readingOrder="1"/>
    </xf>
    <xf numFmtId="3" fontId="10" fillId="0" borderId="0" xfId="2" applyNumberFormat="1" applyFont="1" applyAlignment="1">
      <alignment horizontal="left" vertical="center"/>
    </xf>
    <xf numFmtId="3" fontId="11" fillId="0" borderId="0" xfId="3" applyNumberFormat="1" applyFont="1" applyFill="1" applyBorder="1" applyAlignment="1">
      <alignment horizontal="center" vertical="top"/>
    </xf>
    <xf numFmtId="168" fontId="13" fillId="3" borderId="1" xfId="6" applyNumberFormat="1" applyFont="1" applyFill="1" applyBorder="1" applyAlignment="1" applyProtection="1">
      <alignment horizontal="center" vertical="center"/>
      <protection locked="0"/>
    </xf>
    <xf numFmtId="169" fontId="15" fillId="4" borderId="1" xfId="8" applyNumberFormat="1" applyFont="1" applyFill="1" applyBorder="1" applyAlignment="1" applyProtection="1">
      <alignment vertical="center"/>
      <protection locked="0"/>
    </xf>
    <xf numFmtId="169" fontId="15" fillId="4" borderId="1" xfId="8" applyNumberFormat="1" applyFont="1" applyFill="1" applyBorder="1" applyAlignment="1" applyProtection="1">
      <alignment vertical="top"/>
      <protection locked="0"/>
    </xf>
    <xf numFmtId="166" fontId="10" fillId="5" borderId="1" xfId="4" applyNumberFormat="1" applyFont="1" applyFill="1" applyBorder="1" applyAlignment="1" applyProtection="1">
      <alignment horizontal="center" vertical="center"/>
      <protection locked="0"/>
    </xf>
    <xf numFmtId="0" fontId="7" fillId="5" borderId="1" xfId="1" applyFont="1" applyFill="1" applyBorder="1"/>
    <xf numFmtId="166" fontId="6" fillId="0" borderId="1" xfId="1" applyNumberFormat="1" applyBorder="1" applyAlignment="1">
      <alignment horizontal="center" vertical="center"/>
    </xf>
    <xf numFmtId="3" fontId="16" fillId="0" borderId="1" xfId="10" applyNumberFormat="1" applyFont="1" applyBorder="1" applyAlignment="1" applyProtection="1">
      <alignment horizontal="center" vertical="center" wrapText="1"/>
      <protection locked="0"/>
    </xf>
    <xf numFmtId="0" fontId="7" fillId="0" borderId="1" xfId="1" applyFont="1" applyBorder="1"/>
    <xf numFmtId="3" fontId="20" fillId="7" borderId="1" xfId="10" applyNumberFormat="1" applyFont="1" applyFill="1" applyBorder="1" applyAlignment="1" applyProtection="1">
      <alignment vertical="center" wrapText="1"/>
      <protection locked="0"/>
    </xf>
    <xf numFmtId="166" fontId="5" fillId="7" borderId="1" xfId="1" applyNumberFormat="1" applyFont="1" applyFill="1" applyBorder="1" applyAlignment="1">
      <alignment horizontal="center" vertical="center"/>
    </xf>
    <xf numFmtId="0" fontId="21" fillId="7" borderId="1" xfId="1" applyFont="1" applyFill="1" applyBorder="1" applyAlignment="1">
      <alignment horizontal="center" vertical="center"/>
    </xf>
    <xf numFmtId="3" fontId="22" fillId="0" borderId="0" xfId="12" applyNumberFormat="1" applyFont="1"/>
    <xf numFmtId="3" fontId="22" fillId="0" borderId="0" xfId="12" applyNumberFormat="1" applyFont="1" applyAlignment="1">
      <alignment horizontal="center"/>
    </xf>
    <xf numFmtId="166" fontId="7" fillId="0" borderId="0" xfId="1" applyNumberFormat="1" applyFont="1"/>
    <xf numFmtId="0" fontId="16" fillId="0" borderId="0" xfId="1" applyFont="1"/>
    <xf numFmtId="166" fontId="7" fillId="0" borderId="0" xfId="1" applyNumberFormat="1" applyFont="1" applyAlignment="1">
      <alignment horizontal="center" vertical="center"/>
    </xf>
    <xf numFmtId="3" fontId="18" fillId="0" borderId="1" xfId="9" applyNumberFormat="1" applyFont="1" applyFill="1" applyBorder="1" applyAlignment="1" applyProtection="1">
      <alignment horizontal="center" vertical="center"/>
      <protection locked="0"/>
    </xf>
    <xf numFmtId="169" fontId="19" fillId="4" borderId="1" xfId="14" applyNumberFormat="1" applyFont="1" applyFill="1" applyBorder="1" applyAlignment="1" applyProtection="1">
      <alignment horizontal="center" vertical="top" wrapText="1"/>
      <protection locked="0"/>
    </xf>
    <xf numFmtId="166" fontId="10" fillId="2" borderId="1" xfId="4" applyNumberFormat="1" applyFont="1" applyFill="1" applyBorder="1" applyAlignment="1" applyProtection="1">
      <alignment horizontal="center" vertical="center"/>
      <protection locked="0"/>
    </xf>
    <xf numFmtId="0" fontId="14" fillId="0" borderId="1" xfId="15" applyFont="1" applyBorder="1" applyAlignment="1">
      <alignment horizontal="left" vertical="center"/>
    </xf>
    <xf numFmtId="3" fontId="10" fillId="6" borderId="1" xfId="10" applyNumberFormat="1" applyFont="1" applyFill="1" applyBorder="1" applyAlignment="1" applyProtection="1">
      <alignment horizontal="left" vertical="center" shrinkToFit="1"/>
      <protection locked="0"/>
    </xf>
    <xf numFmtId="0" fontId="25" fillId="8" borderId="1" xfId="16" applyFont="1" applyFill="1" applyBorder="1" applyAlignment="1">
      <alignment horizontal="left" vertical="center"/>
    </xf>
    <xf numFmtId="0" fontId="14" fillId="8" borderId="1" xfId="16" applyFont="1" applyFill="1" applyBorder="1" applyAlignment="1">
      <alignment horizontal="left" vertical="center"/>
    </xf>
    <xf numFmtId="0" fontId="24" fillId="0" borderId="1" xfId="15" applyFont="1" applyBorder="1" applyAlignment="1">
      <alignment vertical="center" wrapText="1"/>
    </xf>
    <xf numFmtId="0" fontId="24" fillId="0" borderId="1" xfId="15" applyFont="1" applyBorder="1" applyAlignment="1">
      <alignment horizontal="center" vertical="center"/>
    </xf>
    <xf numFmtId="3" fontId="11" fillId="6" borderId="1" xfId="10" applyNumberFormat="1" applyFont="1" applyFill="1" applyBorder="1" applyAlignment="1" applyProtection="1">
      <alignment horizontal="left" vertical="top" wrapText="1" shrinkToFit="1"/>
      <protection locked="0"/>
    </xf>
    <xf numFmtId="3" fontId="11" fillId="6" borderId="1" xfId="10" applyNumberFormat="1" applyFont="1" applyFill="1" applyBorder="1" applyAlignment="1" applyProtection="1">
      <alignment horizontal="center" vertical="top" shrinkToFit="1"/>
      <protection locked="0"/>
    </xf>
    <xf numFmtId="0" fontId="23" fillId="8" borderId="1" xfId="16" applyFont="1" applyFill="1" applyBorder="1" applyAlignment="1">
      <alignment vertical="center" wrapText="1"/>
    </xf>
    <xf numFmtId="0" fontId="23" fillId="8" borderId="1" xfId="16" applyFont="1" applyFill="1" applyBorder="1" applyAlignment="1">
      <alignment horizontal="center" vertical="center"/>
    </xf>
    <xf numFmtId="0" fontId="24" fillId="0" borderId="1" xfId="16" applyFont="1" applyBorder="1" applyAlignment="1">
      <alignment vertical="center" wrapText="1"/>
    </xf>
    <xf numFmtId="0" fontId="24" fillId="8" borderId="1" xfId="16" applyFont="1" applyFill="1" applyBorder="1" applyAlignment="1">
      <alignment horizontal="center" vertical="center"/>
    </xf>
    <xf numFmtId="0" fontId="14" fillId="0" borderId="0" xfId="15" applyFont="1" applyAlignment="1">
      <alignment vertical="top"/>
    </xf>
    <xf numFmtId="0" fontId="14" fillId="0" borderId="0" xfId="15" applyFont="1" applyAlignment="1">
      <alignment vertical="top" wrapText="1"/>
    </xf>
    <xf numFmtId="0" fontId="5" fillId="0" borderId="0" xfId="15" applyFont="1"/>
    <xf numFmtId="170" fontId="24" fillId="0" borderId="1" xfId="17" applyNumberFormat="1" applyFont="1" applyBorder="1" applyAlignment="1">
      <alignment horizontal="center" vertical="center"/>
    </xf>
    <xf numFmtId="3" fontId="20" fillId="7" borderId="1" xfId="10" applyNumberFormat="1" applyFont="1" applyFill="1" applyBorder="1" applyAlignment="1" applyProtection="1">
      <alignment horizontal="center" vertical="center" wrapText="1"/>
      <protection locked="0"/>
    </xf>
    <xf numFmtId="166" fontId="5" fillId="7" borderId="1" xfId="1" applyNumberFormat="1" applyFont="1" applyFill="1" applyBorder="1" applyAlignment="1">
      <alignment horizontal="center" vertical="center"/>
    </xf>
    <xf numFmtId="0" fontId="14" fillId="3" borderId="1" xfId="7" applyFont="1" applyFill="1" applyBorder="1" applyAlignment="1">
      <alignment horizontal="center" vertical="center"/>
    </xf>
    <xf numFmtId="168" fontId="13" fillId="3" borderId="1" xfId="6" applyNumberFormat="1" applyFont="1" applyFill="1" applyBorder="1" applyAlignment="1" applyProtection="1">
      <alignment horizontal="center" vertical="center"/>
      <protection locked="0"/>
    </xf>
    <xf numFmtId="167" fontId="13" fillId="3" borderId="1" xfId="5" applyNumberFormat="1" applyFont="1" applyFill="1" applyBorder="1" applyAlignment="1">
      <alignment horizontal="center" vertical="center"/>
    </xf>
    <xf numFmtId="3" fontId="10" fillId="2" borderId="1" xfId="4" applyNumberFormat="1" applyFont="1" applyFill="1" applyBorder="1" applyAlignment="1" applyProtection="1">
      <alignment horizontal="center" vertical="center" wrapText="1"/>
      <protection locked="0"/>
    </xf>
    <xf numFmtId="3" fontId="10" fillId="2" borderId="1" xfId="4" applyNumberFormat="1" applyFont="1" applyFill="1" applyBorder="1" applyAlignment="1" applyProtection="1">
      <alignment horizontal="center" vertical="center"/>
      <protection locked="0"/>
    </xf>
    <xf numFmtId="166" fontId="10" fillId="2" borderId="1" xfId="4" applyNumberFormat="1" applyFont="1" applyFill="1" applyBorder="1" applyAlignment="1" applyProtection="1">
      <alignment horizontal="center" vertical="center"/>
      <protection locked="0"/>
    </xf>
  </cellXfs>
  <cellStyles count="18">
    <cellStyle name="0,0_x000a__x000a_NA_x000a__x000a_ 2 2" xfId="4" xr:uid="{595DE1B1-4568-9A47-A231-A4E209003135}"/>
    <cellStyle name="0,0_x000a__x000a_NA_x000a__x000a_ 4" xfId="11" xr:uid="{6E55AA06-542B-C64A-B33E-F6A4F3AC5BFE}"/>
    <cellStyle name="Comma" xfId="14" builtinId="3"/>
    <cellStyle name="Comma [0] 14 2" xfId="9" xr:uid="{857A3DC2-0D74-F443-9174-0FA51C68B777}"/>
    <cellStyle name="Comma 2" xfId="3" xr:uid="{25E1F159-DB03-BC4C-A5BB-C7D9741EA6A7}"/>
    <cellStyle name="Comma 41" xfId="5" xr:uid="{38AD85D4-6B8F-3A4B-B532-E7BA01416156}"/>
    <cellStyle name="Comma 5 2" xfId="6" xr:uid="{59A767A5-EBBB-8B4F-B1E1-091BD56E6F00}"/>
    <cellStyle name="Comma 9" xfId="8" xr:uid="{276412FD-1318-8A4D-8ED2-D56C7F147082}"/>
    <cellStyle name="Normal" xfId="0" builtinId="0"/>
    <cellStyle name="Normal 10 2 4" xfId="15" xr:uid="{BADD6B55-180A-4F6C-9A39-76A932A4C12D}"/>
    <cellStyle name="Normal 13" xfId="17" xr:uid="{1420B67B-3299-4BDE-A567-FBD380B60C0F}"/>
    <cellStyle name="Normal 14" xfId="16" xr:uid="{0B64C894-86C4-49E7-8BF0-87DBCA106BB3}"/>
    <cellStyle name="Normal 2 2" xfId="12" xr:uid="{84B94F6D-FA93-994B-BB13-FA126172A85E}"/>
    <cellStyle name="Normal 2 2 3" xfId="7" xr:uid="{15E02272-B0DD-164C-BA50-6E399B3175E4}"/>
    <cellStyle name="Normal 3" xfId="1" xr:uid="{FEEA381D-B076-3945-9A24-B3940EACE7B2}"/>
    <cellStyle name="Normal 3 5" xfId="13" xr:uid="{F8704778-1F37-422E-BDC8-5937FD581699}"/>
    <cellStyle name="Normal_Rev_Penarikan Fo 12_DRC Tiki JNE_Slp-Capex" xfId="2" xr:uid="{E53795F5-A9FD-7145-B5E5-FA3759FAA03F}"/>
    <cellStyle name="Normal_Sheet1" xfId="10" xr:uid="{76AA597F-5B89-D84C-9BAA-F80B89ACA1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7BEE5-77BC-A646-B460-D982B0F3FEEA}">
  <sheetPr filterMode="1"/>
  <dimension ref="A1:K64"/>
  <sheetViews>
    <sheetView tabSelected="1" zoomScale="87" zoomScaleNormal="87" zoomScaleSheetLayoutView="25" workbookViewId="0">
      <selection activeCell="C10" sqref="C10"/>
    </sheetView>
  </sheetViews>
  <sheetFormatPr defaultColWidth="10.5" defaultRowHeight="16.5" x14ac:dyDescent="0.3"/>
  <cols>
    <col min="1" max="1" width="5.5" style="19" customWidth="1"/>
    <col min="2" max="2" width="22.75" style="19" customWidth="1"/>
    <col min="3" max="3" width="52.75" style="19" customWidth="1"/>
    <col min="4" max="4" width="10.25" style="20" customWidth="1"/>
    <col min="5" max="5" width="14.25" style="4" customWidth="1"/>
    <col min="6" max="6" width="14.75" style="21" customWidth="1"/>
    <col min="7" max="7" width="14.75" style="23" customWidth="1"/>
    <col min="8" max="8" width="13.5" style="4" customWidth="1"/>
    <col min="9" max="9" width="12.75" style="4" bestFit="1" customWidth="1"/>
    <col min="10" max="10" width="13.5" style="4" customWidth="1"/>
    <col min="11" max="11" width="24.25" style="4" bestFit="1" customWidth="1"/>
    <col min="12" max="16225" width="10.5" style="4"/>
    <col min="16226" max="16384" width="3.75" style="4" customWidth="1"/>
  </cols>
  <sheetData>
    <row r="1" spans="1:11" x14ac:dyDescent="0.3">
      <c r="A1" s="41" t="s">
        <v>29</v>
      </c>
      <c r="B1" s="39"/>
      <c r="C1" s="40"/>
      <c r="D1" s="1"/>
      <c r="E1" s="1"/>
      <c r="F1" s="2"/>
      <c r="G1" s="3"/>
    </row>
    <row r="2" spans="1:11" x14ac:dyDescent="0.3">
      <c r="A2" s="5" t="s">
        <v>136</v>
      </c>
      <c r="B2" s="5"/>
      <c r="C2" s="5"/>
      <c r="D2" s="1"/>
      <c r="E2" s="1"/>
      <c r="F2" s="2"/>
      <c r="G2" s="3"/>
    </row>
    <row r="3" spans="1:11" ht="15.6" customHeight="1" x14ac:dyDescent="0.3">
      <c r="A3" s="5" t="s">
        <v>135</v>
      </c>
      <c r="B3" s="5"/>
      <c r="C3" s="6"/>
      <c r="D3" s="7"/>
      <c r="E3" s="1"/>
      <c r="F3" s="1"/>
      <c r="G3" s="1"/>
      <c r="H3" s="1"/>
      <c r="I3" s="1"/>
      <c r="J3" s="1"/>
      <c r="K3" s="1"/>
    </row>
    <row r="4" spans="1:11" x14ac:dyDescent="0.3">
      <c r="A4" s="48" t="s">
        <v>2</v>
      </c>
      <c r="B4" s="49" t="s">
        <v>3</v>
      </c>
      <c r="C4" s="49" t="s">
        <v>4</v>
      </c>
      <c r="D4" s="49" t="s">
        <v>5</v>
      </c>
      <c r="E4" s="50" t="s">
        <v>134</v>
      </c>
      <c r="F4" s="50"/>
      <c r="G4" s="47" t="s">
        <v>0</v>
      </c>
      <c r="H4" s="46" t="s">
        <v>6</v>
      </c>
      <c r="I4" s="46"/>
      <c r="J4" s="46"/>
      <c r="K4" s="45" t="s">
        <v>1</v>
      </c>
    </row>
    <row r="5" spans="1:11" x14ac:dyDescent="0.3">
      <c r="A5" s="48"/>
      <c r="B5" s="49"/>
      <c r="C5" s="49"/>
      <c r="D5" s="49"/>
      <c r="E5" s="26" t="s">
        <v>7</v>
      </c>
      <c r="F5" s="26" t="s">
        <v>8</v>
      </c>
      <c r="G5" s="47"/>
      <c r="H5" s="8" t="s">
        <v>7</v>
      </c>
      <c r="I5" s="8" t="s">
        <v>8</v>
      </c>
      <c r="J5" s="8" t="s">
        <v>9</v>
      </c>
      <c r="K5" s="45"/>
    </row>
    <row r="6" spans="1:11" x14ac:dyDescent="0.3">
      <c r="A6" s="25" t="s">
        <v>10</v>
      </c>
      <c r="B6" s="9" t="s">
        <v>69</v>
      </c>
      <c r="C6" s="10"/>
      <c r="D6" s="10"/>
      <c r="E6" s="11"/>
      <c r="F6" s="11"/>
      <c r="G6" s="11"/>
      <c r="H6" s="12"/>
      <c r="I6" s="12"/>
      <c r="J6" s="12"/>
      <c r="K6" s="12"/>
    </row>
    <row r="7" spans="1:11" ht="25.5" x14ac:dyDescent="0.3">
      <c r="A7" s="24">
        <v>1</v>
      </c>
      <c r="B7" s="27" t="s">
        <v>15</v>
      </c>
      <c r="C7" s="31" t="s">
        <v>16</v>
      </c>
      <c r="D7" s="32" t="s">
        <v>70</v>
      </c>
      <c r="E7" s="42">
        <v>0</v>
      </c>
      <c r="F7" s="42">
        <v>49440</v>
      </c>
      <c r="G7" s="13">
        <f>24+3</f>
        <v>27</v>
      </c>
      <c r="H7" s="13">
        <f>E7*G7</f>
        <v>0</v>
      </c>
      <c r="I7" s="13">
        <f>F7*G7</f>
        <v>1334880</v>
      </c>
      <c r="J7" s="13">
        <f t="shared" ref="J7" si="0">SUM(H7:I7)</f>
        <v>1334880</v>
      </c>
      <c r="K7" s="14"/>
    </row>
    <row r="8" spans="1:11" ht="25.5" hidden="1" x14ac:dyDescent="0.3">
      <c r="A8" s="24">
        <v>2</v>
      </c>
      <c r="B8" s="28" t="s">
        <v>18</v>
      </c>
      <c r="C8" s="33" t="s">
        <v>71</v>
      </c>
      <c r="D8" s="34" t="s">
        <v>72</v>
      </c>
      <c r="E8" s="42">
        <v>573628</v>
      </c>
      <c r="F8" s="42">
        <v>33311</v>
      </c>
      <c r="G8" s="13"/>
      <c r="H8" s="13">
        <f t="shared" ref="H8:H21" si="1">E8*G8</f>
        <v>0</v>
      </c>
      <c r="I8" s="13">
        <f t="shared" ref="I8:I21" si="2">F8*G8</f>
        <v>0</v>
      </c>
      <c r="J8" s="13">
        <f t="shared" ref="J8:J21" si="3">SUM(H8:I8)</f>
        <v>0</v>
      </c>
      <c r="K8" s="14"/>
    </row>
    <row r="9" spans="1:11" ht="25.5" x14ac:dyDescent="0.3">
      <c r="A9" s="24">
        <v>3</v>
      </c>
      <c r="B9" s="28" t="s">
        <v>17</v>
      </c>
      <c r="C9" s="33" t="s">
        <v>73</v>
      </c>
      <c r="D9" s="34" t="s">
        <v>72</v>
      </c>
      <c r="E9" s="42">
        <v>359985</v>
      </c>
      <c r="F9" s="42">
        <v>33311</v>
      </c>
      <c r="G9" s="13">
        <v>1</v>
      </c>
      <c r="H9" s="13">
        <f t="shared" si="1"/>
        <v>359985</v>
      </c>
      <c r="I9" s="13">
        <f t="shared" si="2"/>
        <v>33311</v>
      </c>
      <c r="J9" s="13">
        <f t="shared" si="3"/>
        <v>393296</v>
      </c>
      <c r="K9" s="14"/>
    </row>
    <row r="10" spans="1:11" ht="51" x14ac:dyDescent="0.3">
      <c r="A10" s="24">
        <v>4</v>
      </c>
      <c r="B10" s="29" t="s">
        <v>19</v>
      </c>
      <c r="C10" s="35" t="s">
        <v>74</v>
      </c>
      <c r="D10" s="36" t="s">
        <v>72</v>
      </c>
      <c r="E10" s="42">
        <v>1236000</v>
      </c>
      <c r="F10" s="42">
        <v>154500</v>
      </c>
      <c r="G10" s="13">
        <v>1</v>
      </c>
      <c r="H10" s="13">
        <f t="shared" si="1"/>
        <v>1236000</v>
      </c>
      <c r="I10" s="13">
        <f t="shared" si="2"/>
        <v>154500</v>
      </c>
      <c r="J10" s="13">
        <f t="shared" si="3"/>
        <v>1390500</v>
      </c>
      <c r="K10" s="14"/>
    </row>
    <row r="11" spans="1:11" ht="51" hidden="1" x14ac:dyDescent="0.3">
      <c r="A11" s="24">
        <v>5</v>
      </c>
      <c r="B11" s="29" t="s">
        <v>20</v>
      </c>
      <c r="C11" s="35" t="s">
        <v>75</v>
      </c>
      <c r="D11" s="36" t="s">
        <v>72</v>
      </c>
      <c r="E11" s="42">
        <v>1601650</v>
      </c>
      <c r="F11" s="42">
        <v>154500</v>
      </c>
      <c r="G11" s="13"/>
      <c r="H11" s="13">
        <f t="shared" si="1"/>
        <v>0</v>
      </c>
      <c r="I11" s="13">
        <f t="shared" si="2"/>
        <v>0</v>
      </c>
      <c r="J11" s="13">
        <f t="shared" si="3"/>
        <v>0</v>
      </c>
      <c r="K11" s="14"/>
    </row>
    <row r="12" spans="1:11" x14ac:dyDescent="0.3">
      <c r="A12" s="24">
        <v>6</v>
      </c>
      <c r="B12" s="29" t="s">
        <v>76</v>
      </c>
      <c r="C12" s="35" t="s">
        <v>26</v>
      </c>
      <c r="D12" s="36" t="s">
        <v>77</v>
      </c>
      <c r="E12" s="42">
        <v>0</v>
      </c>
      <c r="F12" s="42">
        <v>219350</v>
      </c>
      <c r="G12" s="13">
        <v>1</v>
      </c>
      <c r="H12" s="13">
        <f t="shared" si="1"/>
        <v>0</v>
      </c>
      <c r="I12" s="13">
        <f t="shared" si="2"/>
        <v>219350</v>
      </c>
      <c r="J12" s="13">
        <f t="shared" si="3"/>
        <v>219350</v>
      </c>
      <c r="K12" s="14"/>
    </row>
    <row r="13" spans="1:11" ht="25.5" hidden="1" x14ac:dyDescent="0.3">
      <c r="A13" s="24">
        <v>7</v>
      </c>
      <c r="B13" s="30" t="s">
        <v>78</v>
      </c>
      <c r="C13" s="37" t="s">
        <v>79</v>
      </c>
      <c r="D13" s="38" t="s">
        <v>72</v>
      </c>
      <c r="E13" s="42">
        <v>34018</v>
      </c>
      <c r="F13" s="42">
        <v>732</v>
      </c>
      <c r="G13" s="13"/>
      <c r="H13" s="13">
        <f t="shared" si="1"/>
        <v>0</v>
      </c>
      <c r="I13" s="13">
        <f t="shared" si="2"/>
        <v>0</v>
      </c>
      <c r="J13" s="13">
        <f t="shared" si="3"/>
        <v>0</v>
      </c>
      <c r="K13" s="14"/>
    </row>
    <row r="14" spans="1:11" hidden="1" x14ac:dyDescent="0.3">
      <c r="A14" s="24">
        <v>8</v>
      </c>
      <c r="B14" s="30" t="s">
        <v>80</v>
      </c>
      <c r="C14" s="37" t="s">
        <v>27</v>
      </c>
      <c r="D14" s="38" t="s">
        <v>72</v>
      </c>
      <c r="E14" s="42">
        <v>22485</v>
      </c>
      <c r="F14" s="42">
        <v>10300</v>
      </c>
      <c r="G14" s="13"/>
      <c r="H14" s="13">
        <f t="shared" si="1"/>
        <v>0</v>
      </c>
      <c r="I14" s="13">
        <f t="shared" si="2"/>
        <v>0</v>
      </c>
      <c r="J14" s="13">
        <f t="shared" si="3"/>
        <v>0</v>
      </c>
      <c r="K14" s="14"/>
    </row>
    <row r="15" spans="1:11" hidden="1" x14ac:dyDescent="0.3">
      <c r="A15" s="24">
        <v>9</v>
      </c>
      <c r="B15" s="30" t="s">
        <v>21</v>
      </c>
      <c r="C15" s="37" t="s">
        <v>81</v>
      </c>
      <c r="D15" s="38" t="s">
        <v>72</v>
      </c>
      <c r="E15" s="42">
        <v>16470</v>
      </c>
      <c r="F15" s="42">
        <v>9301</v>
      </c>
      <c r="G15" s="13"/>
      <c r="H15" s="13">
        <f t="shared" si="1"/>
        <v>0</v>
      </c>
      <c r="I15" s="13">
        <f t="shared" si="2"/>
        <v>0</v>
      </c>
      <c r="J15" s="13">
        <f t="shared" si="3"/>
        <v>0</v>
      </c>
      <c r="K15" s="14"/>
    </row>
    <row r="16" spans="1:11" hidden="1" x14ac:dyDescent="0.3">
      <c r="A16" s="24">
        <v>10</v>
      </c>
      <c r="B16" s="30" t="s">
        <v>22</v>
      </c>
      <c r="C16" s="37" t="s">
        <v>28</v>
      </c>
      <c r="D16" s="38" t="s">
        <v>72</v>
      </c>
      <c r="E16" s="42">
        <v>13390</v>
      </c>
      <c r="F16" s="42">
        <v>4635</v>
      </c>
      <c r="G16" s="13"/>
      <c r="H16" s="13">
        <f t="shared" si="1"/>
        <v>0</v>
      </c>
      <c r="I16" s="13">
        <f t="shared" si="2"/>
        <v>0</v>
      </c>
      <c r="J16" s="13">
        <f t="shared" si="3"/>
        <v>0</v>
      </c>
      <c r="K16" s="14"/>
    </row>
    <row r="17" spans="1:11" ht="25.5" x14ac:dyDescent="0.3">
      <c r="A17" s="24">
        <v>11</v>
      </c>
      <c r="B17" s="30" t="s">
        <v>23</v>
      </c>
      <c r="C17" s="37" t="s">
        <v>82</v>
      </c>
      <c r="D17" s="38" t="s">
        <v>11</v>
      </c>
      <c r="E17" s="42">
        <v>13036</v>
      </c>
      <c r="F17" s="42">
        <v>1590</v>
      </c>
      <c r="G17" s="13">
        <v>1</v>
      </c>
      <c r="H17" s="13">
        <f t="shared" si="1"/>
        <v>13036</v>
      </c>
      <c r="I17" s="13">
        <f t="shared" si="2"/>
        <v>1590</v>
      </c>
      <c r="J17" s="13">
        <f t="shared" si="3"/>
        <v>14626</v>
      </c>
      <c r="K17" s="15"/>
    </row>
    <row r="18" spans="1:11" x14ac:dyDescent="0.3">
      <c r="A18" s="24">
        <v>12</v>
      </c>
      <c r="B18" s="30" t="s">
        <v>24</v>
      </c>
      <c r="C18" s="37" t="s">
        <v>83</v>
      </c>
      <c r="D18" s="38" t="s">
        <v>72</v>
      </c>
      <c r="E18" s="42">
        <v>23690</v>
      </c>
      <c r="F18" s="42">
        <v>24720</v>
      </c>
      <c r="G18" s="13">
        <v>2</v>
      </c>
      <c r="H18" s="13">
        <f t="shared" si="1"/>
        <v>47380</v>
      </c>
      <c r="I18" s="13">
        <f t="shared" si="2"/>
        <v>49440</v>
      </c>
      <c r="J18" s="13">
        <f t="shared" si="3"/>
        <v>96820</v>
      </c>
      <c r="K18" s="15"/>
    </row>
    <row r="19" spans="1:11" hidden="1" x14ac:dyDescent="0.3">
      <c r="A19" s="24">
        <v>13</v>
      </c>
      <c r="B19" s="30" t="s">
        <v>25</v>
      </c>
      <c r="C19" s="37" t="s">
        <v>84</v>
      </c>
      <c r="D19" s="38" t="s">
        <v>72</v>
      </c>
      <c r="E19" s="42">
        <v>23690</v>
      </c>
      <c r="F19" s="42">
        <v>24720</v>
      </c>
      <c r="G19" s="13"/>
      <c r="H19" s="13">
        <f t="shared" si="1"/>
        <v>0</v>
      </c>
      <c r="I19" s="13">
        <f t="shared" si="2"/>
        <v>0</v>
      </c>
      <c r="J19" s="13">
        <f t="shared" si="3"/>
        <v>0</v>
      </c>
      <c r="K19" s="15"/>
    </row>
    <row r="20" spans="1:11" ht="25.5" hidden="1" x14ac:dyDescent="0.3">
      <c r="A20" s="24">
        <v>14</v>
      </c>
      <c r="B20" s="30" t="s">
        <v>85</v>
      </c>
      <c r="C20" s="37" t="s">
        <v>86</v>
      </c>
      <c r="D20" s="38" t="s">
        <v>87</v>
      </c>
      <c r="E20" s="42">
        <v>6798</v>
      </c>
      <c r="F20" s="42">
        <v>4743</v>
      </c>
      <c r="G20" s="13"/>
      <c r="H20" s="13">
        <f t="shared" si="1"/>
        <v>0</v>
      </c>
      <c r="I20" s="13">
        <f t="shared" si="2"/>
        <v>0</v>
      </c>
      <c r="J20" s="13">
        <f t="shared" si="3"/>
        <v>0</v>
      </c>
      <c r="K20" s="15"/>
    </row>
    <row r="21" spans="1:11" ht="25.5" x14ac:dyDescent="0.3">
      <c r="A21" s="24">
        <v>15</v>
      </c>
      <c r="B21" s="30" t="s">
        <v>12</v>
      </c>
      <c r="C21" s="37" t="s">
        <v>88</v>
      </c>
      <c r="D21" s="38" t="s">
        <v>87</v>
      </c>
      <c r="E21" s="42">
        <v>6798</v>
      </c>
      <c r="F21" s="42">
        <v>4708</v>
      </c>
      <c r="G21" s="13">
        <v>5</v>
      </c>
      <c r="H21" s="13">
        <f t="shared" si="1"/>
        <v>33990</v>
      </c>
      <c r="I21" s="13">
        <f t="shared" si="2"/>
        <v>23540</v>
      </c>
      <c r="J21" s="13">
        <f t="shared" si="3"/>
        <v>57530</v>
      </c>
      <c r="K21" s="15"/>
    </row>
    <row r="22" spans="1:11" ht="25.5" x14ac:dyDescent="0.3">
      <c r="A22" s="24">
        <v>16</v>
      </c>
      <c r="B22" s="30" t="s">
        <v>13</v>
      </c>
      <c r="C22" s="37" t="s">
        <v>89</v>
      </c>
      <c r="D22" s="38" t="s">
        <v>72</v>
      </c>
      <c r="E22" s="42">
        <v>602550</v>
      </c>
      <c r="F22" s="42">
        <v>33475</v>
      </c>
      <c r="G22" s="13">
        <v>1</v>
      </c>
      <c r="H22" s="13">
        <f t="shared" ref="H22:H53" si="4">E22*G22</f>
        <v>602550</v>
      </c>
      <c r="I22" s="13">
        <f t="shared" ref="I22:I53" si="5">F22*G22</f>
        <v>33475</v>
      </c>
      <c r="J22" s="13">
        <f t="shared" ref="J22:J53" si="6">SUM(H22:I22)</f>
        <v>636025</v>
      </c>
      <c r="K22" s="15"/>
    </row>
    <row r="23" spans="1:11" ht="25.5" hidden="1" x14ac:dyDescent="0.3">
      <c r="A23" s="24">
        <v>17</v>
      </c>
      <c r="B23" s="30" t="s">
        <v>90</v>
      </c>
      <c r="C23" s="37" t="s">
        <v>91</v>
      </c>
      <c r="D23" s="38" t="s">
        <v>11</v>
      </c>
      <c r="E23" s="42">
        <v>6798</v>
      </c>
      <c r="F23" s="42">
        <v>4708</v>
      </c>
      <c r="G23" s="13"/>
      <c r="H23" s="13">
        <f t="shared" si="4"/>
        <v>0</v>
      </c>
      <c r="I23" s="13">
        <f t="shared" si="5"/>
        <v>0</v>
      </c>
      <c r="J23" s="13">
        <f t="shared" si="6"/>
        <v>0</v>
      </c>
      <c r="K23" s="15"/>
    </row>
    <row r="24" spans="1:11" ht="25.5" x14ac:dyDescent="0.3">
      <c r="A24" s="24">
        <v>18</v>
      </c>
      <c r="B24" s="30" t="s">
        <v>67</v>
      </c>
      <c r="C24" s="37" t="s">
        <v>92</v>
      </c>
      <c r="D24" s="38" t="s">
        <v>14</v>
      </c>
      <c r="E24" s="42">
        <v>31415</v>
      </c>
      <c r="F24" s="42">
        <v>2975</v>
      </c>
      <c r="G24" s="13">
        <v>1</v>
      </c>
      <c r="H24" s="13">
        <f t="shared" si="4"/>
        <v>31415</v>
      </c>
      <c r="I24" s="13">
        <f t="shared" si="5"/>
        <v>2975</v>
      </c>
      <c r="J24" s="13">
        <f t="shared" si="6"/>
        <v>34390</v>
      </c>
      <c r="K24" s="15"/>
    </row>
    <row r="25" spans="1:11" x14ac:dyDescent="0.3">
      <c r="A25" s="24">
        <v>19</v>
      </c>
      <c r="B25" s="30" t="s">
        <v>68</v>
      </c>
      <c r="C25" s="37" t="s">
        <v>93</v>
      </c>
      <c r="D25" s="38" t="s">
        <v>87</v>
      </c>
      <c r="E25" s="42">
        <v>4697</v>
      </c>
      <c r="F25" s="42">
        <v>1473</v>
      </c>
      <c r="G25" s="13">
        <v>8</v>
      </c>
      <c r="H25" s="13">
        <f t="shared" si="4"/>
        <v>37576</v>
      </c>
      <c r="I25" s="13">
        <f t="shared" si="5"/>
        <v>11784</v>
      </c>
      <c r="J25" s="13">
        <f t="shared" si="6"/>
        <v>49360</v>
      </c>
      <c r="K25" s="15"/>
    </row>
    <row r="26" spans="1:11" ht="25.5" hidden="1" x14ac:dyDescent="0.3">
      <c r="A26" s="24">
        <v>20</v>
      </c>
      <c r="B26" s="30" t="s">
        <v>94</v>
      </c>
      <c r="C26" s="37" t="s">
        <v>95</v>
      </c>
      <c r="D26" s="38" t="s">
        <v>96</v>
      </c>
      <c r="E26" s="42">
        <v>2708900</v>
      </c>
      <c r="F26" s="42">
        <v>270375</v>
      </c>
      <c r="G26" s="13"/>
      <c r="H26" s="13">
        <f t="shared" si="4"/>
        <v>0</v>
      </c>
      <c r="I26" s="13">
        <f t="shared" si="5"/>
        <v>0</v>
      </c>
      <c r="J26" s="13">
        <f t="shared" si="6"/>
        <v>0</v>
      </c>
      <c r="K26" s="15"/>
    </row>
    <row r="27" spans="1:11" ht="25.5" hidden="1" x14ac:dyDescent="0.3">
      <c r="A27" s="24">
        <v>21</v>
      </c>
      <c r="B27" s="30" t="s">
        <v>30</v>
      </c>
      <c r="C27" s="37" t="s">
        <v>31</v>
      </c>
      <c r="D27" s="38" t="s">
        <v>11</v>
      </c>
      <c r="E27" s="42">
        <v>24514</v>
      </c>
      <c r="F27" s="42">
        <v>3959</v>
      </c>
      <c r="G27" s="13"/>
      <c r="H27" s="13">
        <f t="shared" si="4"/>
        <v>0</v>
      </c>
      <c r="I27" s="13">
        <f t="shared" si="5"/>
        <v>0</v>
      </c>
      <c r="J27" s="13">
        <f t="shared" si="6"/>
        <v>0</v>
      </c>
      <c r="K27" s="15"/>
    </row>
    <row r="28" spans="1:11" ht="25.5" hidden="1" x14ac:dyDescent="0.3">
      <c r="A28" s="24">
        <v>22</v>
      </c>
      <c r="B28" s="30" t="s">
        <v>32</v>
      </c>
      <c r="C28" s="37" t="s">
        <v>33</v>
      </c>
      <c r="D28" s="38" t="s">
        <v>11</v>
      </c>
      <c r="E28" s="42">
        <v>309012</v>
      </c>
      <c r="F28" s="42">
        <v>59392</v>
      </c>
      <c r="G28" s="13"/>
      <c r="H28" s="13">
        <f t="shared" si="4"/>
        <v>0</v>
      </c>
      <c r="I28" s="13">
        <f t="shared" si="5"/>
        <v>0</v>
      </c>
      <c r="J28" s="13">
        <f t="shared" si="6"/>
        <v>0</v>
      </c>
      <c r="K28" s="15"/>
    </row>
    <row r="29" spans="1:11" ht="25.5" hidden="1" x14ac:dyDescent="0.3">
      <c r="A29" s="24">
        <v>23</v>
      </c>
      <c r="B29" s="30" t="s">
        <v>34</v>
      </c>
      <c r="C29" s="37" t="s">
        <v>35</v>
      </c>
      <c r="D29" s="38" t="s">
        <v>11</v>
      </c>
      <c r="E29" s="42">
        <v>58795</v>
      </c>
      <c r="F29" s="42">
        <v>59392</v>
      </c>
      <c r="G29" s="13"/>
      <c r="H29" s="13">
        <f t="shared" si="4"/>
        <v>0</v>
      </c>
      <c r="I29" s="13">
        <f t="shared" si="5"/>
        <v>0</v>
      </c>
      <c r="J29" s="13">
        <f t="shared" si="6"/>
        <v>0</v>
      </c>
      <c r="K29" s="15"/>
    </row>
    <row r="30" spans="1:11" ht="25.5" hidden="1" x14ac:dyDescent="0.3">
      <c r="A30" s="24">
        <v>24</v>
      </c>
      <c r="B30" s="30" t="s">
        <v>36</v>
      </c>
      <c r="C30" s="37" t="s">
        <v>37</v>
      </c>
      <c r="D30" s="38" t="s">
        <v>11</v>
      </c>
      <c r="E30" s="42">
        <v>13036</v>
      </c>
      <c r="F30" s="42">
        <v>1590</v>
      </c>
      <c r="G30" s="13"/>
      <c r="H30" s="13">
        <f t="shared" si="4"/>
        <v>0</v>
      </c>
      <c r="I30" s="13">
        <f t="shared" si="5"/>
        <v>0</v>
      </c>
      <c r="J30" s="13">
        <f t="shared" si="6"/>
        <v>0</v>
      </c>
      <c r="K30" s="15"/>
    </row>
    <row r="31" spans="1:11" ht="25.5" hidden="1" x14ac:dyDescent="0.3">
      <c r="A31" s="24">
        <v>25</v>
      </c>
      <c r="B31" s="30" t="s">
        <v>38</v>
      </c>
      <c r="C31" s="37" t="s">
        <v>39</v>
      </c>
      <c r="D31" s="38" t="s">
        <v>11</v>
      </c>
      <c r="E31" s="42">
        <v>0</v>
      </c>
      <c r="F31" s="42">
        <v>1980</v>
      </c>
      <c r="G31" s="13"/>
      <c r="H31" s="13">
        <f t="shared" si="4"/>
        <v>0</v>
      </c>
      <c r="I31" s="13">
        <f t="shared" si="5"/>
        <v>0</v>
      </c>
      <c r="J31" s="13">
        <f t="shared" si="6"/>
        <v>0</v>
      </c>
      <c r="K31" s="15"/>
    </row>
    <row r="32" spans="1:11" ht="25.5" hidden="1" x14ac:dyDescent="0.3">
      <c r="A32" s="24">
        <v>26</v>
      </c>
      <c r="B32" s="30" t="s">
        <v>40</v>
      </c>
      <c r="C32" s="37" t="s">
        <v>41</v>
      </c>
      <c r="D32" s="38" t="s">
        <v>14</v>
      </c>
      <c r="E32" s="42">
        <v>11845</v>
      </c>
      <c r="F32" s="42">
        <v>2369</v>
      </c>
      <c r="G32" s="13"/>
      <c r="H32" s="13">
        <f t="shared" si="4"/>
        <v>0</v>
      </c>
      <c r="I32" s="13">
        <f t="shared" si="5"/>
        <v>0</v>
      </c>
      <c r="J32" s="13">
        <f t="shared" si="6"/>
        <v>0</v>
      </c>
      <c r="K32" s="15"/>
    </row>
    <row r="33" spans="1:11" ht="38.25" hidden="1" x14ac:dyDescent="0.3">
      <c r="A33" s="24">
        <v>27</v>
      </c>
      <c r="B33" s="30" t="s">
        <v>42</v>
      </c>
      <c r="C33" s="37" t="s">
        <v>43</v>
      </c>
      <c r="D33" s="38" t="s">
        <v>11</v>
      </c>
      <c r="E33" s="42">
        <v>0</v>
      </c>
      <c r="F33" s="42">
        <v>19570</v>
      </c>
      <c r="G33" s="13"/>
      <c r="H33" s="13">
        <f t="shared" si="4"/>
        <v>0</v>
      </c>
      <c r="I33" s="13">
        <f t="shared" si="5"/>
        <v>0</v>
      </c>
      <c r="J33" s="13">
        <f t="shared" si="6"/>
        <v>0</v>
      </c>
      <c r="K33" s="15"/>
    </row>
    <row r="34" spans="1:11" ht="38.25" hidden="1" x14ac:dyDescent="0.3">
      <c r="A34" s="24">
        <v>28</v>
      </c>
      <c r="B34" s="30" t="s">
        <v>44</v>
      </c>
      <c r="C34" s="37" t="s">
        <v>45</v>
      </c>
      <c r="D34" s="38" t="s">
        <v>11</v>
      </c>
      <c r="E34" s="42">
        <v>0</v>
      </c>
      <c r="F34" s="42">
        <v>23227</v>
      </c>
      <c r="G34" s="13"/>
      <c r="H34" s="13">
        <f t="shared" si="4"/>
        <v>0</v>
      </c>
      <c r="I34" s="13">
        <f t="shared" si="5"/>
        <v>0</v>
      </c>
      <c r="J34" s="13">
        <f t="shared" si="6"/>
        <v>0</v>
      </c>
      <c r="K34" s="15"/>
    </row>
    <row r="35" spans="1:11" ht="25.5" hidden="1" x14ac:dyDescent="0.3">
      <c r="A35" s="24">
        <v>29</v>
      </c>
      <c r="B35" s="30" t="s">
        <v>46</v>
      </c>
      <c r="C35" s="37" t="s">
        <v>47</v>
      </c>
      <c r="D35" s="38" t="s">
        <v>14</v>
      </c>
      <c r="E35" s="42">
        <v>787559</v>
      </c>
      <c r="F35" s="42">
        <v>179581</v>
      </c>
      <c r="G35" s="13"/>
      <c r="H35" s="13">
        <f t="shared" si="4"/>
        <v>0</v>
      </c>
      <c r="I35" s="13">
        <f t="shared" si="5"/>
        <v>0</v>
      </c>
      <c r="J35" s="13">
        <f t="shared" si="6"/>
        <v>0</v>
      </c>
      <c r="K35" s="15"/>
    </row>
    <row r="36" spans="1:11" hidden="1" x14ac:dyDescent="0.3">
      <c r="A36" s="24">
        <v>30</v>
      </c>
      <c r="B36" s="30" t="s">
        <v>48</v>
      </c>
      <c r="C36" s="37" t="s">
        <v>49</v>
      </c>
      <c r="D36" s="38" t="s">
        <v>14</v>
      </c>
      <c r="E36" s="42">
        <v>2575000</v>
      </c>
      <c r="F36" s="42">
        <v>267864</v>
      </c>
      <c r="G36" s="13"/>
      <c r="H36" s="13">
        <f t="shared" si="4"/>
        <v>0</v>
      </c>
      <c r="I36" s="13">
        <f t="shared" si="5"/>
        <v>0</v>
      </c>
      <c r="J36" s="13">
        <f t="shared" si="6"/>
        <v>0</v>
      </c>
      <c r="K36" s="15"/>
    </row>
    <row r="37" spans="1:11" ht="25.5" hidden="1" x14ac:dyDescent="0.3">
      <c r="A37" s="24">
        <v>31</v>
      </c>
      <c r="B37" s="30" t="s">
        <v>50</v>
      </c>
      <c r="C37" s="37" t="s">
        <v>51</v>
      </c>
      <c r="D37" s="38" t="s">
        <v>52</v>
      </c>
      <c r="E37" s="42">
        <v>12002</v>
      </c>
      <c r="F37" s="42">
        <v>1533</v>
      </c>
      <c r="G37" s="13"/>
      <c r="H37" s="13">
        <f t="shared" si="4"/>
        <v>0</v>
      </c>
      <c r="I37" s="13">
        <f t="shared" si="5"/>
        <v>0</v>
      </c>
      <c r="J37" s="13">
        <f t="shared" si="6"/>
        <v>0</v>
      </c>
      <c r="K37" s="15"/>
    </row>
    <row r="38" spans="1:11" ht="51" hidden="1" x14ac:dyDescent="0.3">
      <c r="A38" s="24">
        <v>32</v>
      </c>
      <c r="B38" s="30" t="s">
        <v>53</v>
      </c>
      <c r="C38" s="37" t="s">
        <v>54</v>
      </c>
      <c r="D38" s="38" t="s">
        <v>55</v>
      </c>
      <c r="E38" s="42">
        <v>253965</v>
      </c>
      <c r="F38" s="42">
        <v>239990</v>
      </c>
      <c r="G38" s="13"/>
      <c r="H38" s="13">
        <f t="shared" si="4"/>
        <v>0</v>
      </c>
      <c r="I38" s="13">
        <f t="shared" si="5"/>
        <v>0</v>
      </c>
      <c r="J38" s="13">
        <f t="shared" si="6"/>
        <v>0</v>
      </c>
      <c r="K38" s="15"/>
    </row>
    <row r="39" spans="1:11" hidden="1" x14ac:dyDescent="0.3">
      <c r="A39" s="24">
        <v>33</v>
      </c>
      <c r="B39" s="30" t="s">
        <v>56</v>
      </c>
      <c r="C39" s="37" t="s">
        <v>57</v>
      </c>
      <c r="D39" s="38" t="s">
        <v>97</v>
      </c>
      <c r="E39" s="42">
        <v>7323</v>
      </c>
      <c r="F39" s="42">
        <v>732</v>
      </c>
      <c r="G39" s="13"/>
      <c r="H39" s="13">
        <f t="shared" si="4"/>
        <v>0</v>
      </c>
      <c r="I39" s="13">
        <f t="shared" si="5"/>
        <v>0</v>
      </c>
      <c r="J39" s="13">
        <f t="shared" si="6"/>
        <v>0</v>
      </c>
      <c r="K39" s="15"/>
    </row>
    <row r="40" spans="1:11" hidden="1" x14ac:dyDescent="0.3">
      <c r="A40" s="24">
        <v>34</v>
      </c>
      <c r="B40" s="30" t="s">
        <v>58</v>
      </c>
      <c r="C40" s="37" t="s">
        <v>58</v>
      </c>
      <c r="D40" s="38" t="s">
        <v>14</v>
      </c>
      <c r="E40" s="42">
        <v>6695</v>
      </c>
      <c r="F40" s="42">
        <v>0</v>
      </c>
      <c r="G40" s="13"/>
      <c r="H40" s="13">
        <f t="shared" si="4"/>
        <v>0</v>
      </c>
      <c r="I40" s="13">
        <f t="shared" si="5"/>
        <v>0</v>
      </c>
      <c r="J40" s="13">
        <f t="shared" si="6"/>
        <v>0</v>
      </c>
      <c r="K40" s="15"/>
    </row>
    <row r="41" spans="1:11" hidden="1" x14ac:dyDescent="0.3">
      <c r="A41" s="24">
        <v>35</v>
      </c>
      <c r="B41" s="30" t="s">
        <v>59</v>
      </c>
      <c r="C41" s="37" t="s">
        <v>60</v>
      </c>
      <c r="D41" s="38" t="s">
        <v>98</v>
      </c>
      <c r="E41" s="42">
        <v>603168</v>
      </c>
      <c r="F41" s="42">
        <v>133900</v>
      </c>
      <c r="G41" s="13"/>
      <c r="H41" s="13">
        <f t="shared" si="4"/>
        <v>0</v>
      </c>
      <c r="I41" s="13">
        <f t="shared" si="5"/>
        <v>0</v>
      </c>
      <c r="J41" s="13">
        <f t="shared" si="6"/>
        <v>0</v>
      </c>
      <c r="K41" s="15"/>
    </row>
    <row r="42" spans="1:11" hidden="1" x14ac:dyDescent="0.3">
      <c r="A42" s="24">
        <v>36</v>
      </c>
      <c r="B42" s="30" t="s">
        <v>61</v>
      </c>
      <c r="C42" s="37" t="s">
        <v>62</v>
      </c>
      <c r="D42" s="38" t="s">
        <v>97</v>
      </c>
      <c r="E42" s="42">
        <v>25750</v>
      </c>
      <c r="F42" s="42">
        <v>2060</v>
      </c>
      <c r="G42" s="13"/>
      <c r="H42" s="13">
        <f t="shared" si="4"/>
        <v>0</v>
      </c>
      <c r="I42" s="13">
        <f t="shared" si="5"/>
        <v>0</v>
      </c>
      <c r="J42" s="13">
        <f t="shared" si="6"/>
        <v>0</v>
      </c>
      <c r="K42" s="15"/>
    </row>
    <row r="43" spans="1:11" hidden="1" x14ac:dyDescent="0.3">
      <c r="A43" s="24">
        <v>37</v>
      </c>
      <c r="B43" s="30" t="s">
        <v>99</v>
      </c>
      <c r="C43" s="37" t="s">
        <v>63</v>
      </c>
      <c r="D43" s="38" t="s">
        <v>11</v>
      </c>
      <c r="E43" s="42">
        <v>1674</v>
      </c>
      <c r="F43" s="42">
        <v>403</v>
      </c>
      <c r="G43" s="13"/>
      <c r="H43" s="13">
        <f t="shared" si="4"/>
        <v>0</v>
      </c>
      <c r="I43" s="13">
        <f t="shared" si="5"/>
        <v>0</v>
      </c>
      <c r="J43" s="13">
        <f t="shared" si="6"/>
        <v>0</v>
      </c>
      <c r="K43" s="15"/>
    </row>
    <row r="44" spans="1:11" ht="25.5" hidden="1" x14ac:dyDescent="0.3">
      <c r="A44" s="24">
        <v>38</v>
      </c>
      <c r="B44" s="30" t="s">
        <v>64</v>
      </c>
      <c r="C44" s="37" t="s">
        <v>65</v>
      </c>
      <c r="D44" s="38" t="s">
        <v>66</v>
      </c>
      <c r="E44" s="42">
        <v>1642850</v>
      </c>
      <c r="F44" s="42">
        <v>267800</v>
      </c>
      <c r="G44" s="13"/>
      <c r="H44" s="13">
        <f t="shared" si="4"/>
        <v>0</v>
      </c>
      <c r="I44" s="13">
        <f t="shared" si="5"/>
        <v>0</v>
      </c>
      <c r="J44" s="13">
        <f t="shared" si="6"/>
        <v>0</v>
      </c>
      <c r="K44" s="15"/>
    </row>
    <row r="45" spans="1:11" ht="25.5" hidden="1" x14ac:dyDescent="0.3">
      <c r="A45" s="24">
        <v>39</v>
      </c>
      <c r="B45" s="30" t="s">
        <v>100</v>
      </c>
      <c r="C45" s="37" t="s">
        <v>101</v>
      </c>
      <c r="D45" s="38" t="s">
        <v>66</v>
      </c>
      <c r="E45" s="42">
        <v>1210250</v>
      </c>
      <c r="F45" s="42">
        <v>178190</v>
      </c>
      <c r="G45" s="13"/>
      <c r="H45" s="13">
        <f t="shared" si="4"/>
        <v>0</v>
      </c>
      <c r="I45" s="13">
        <f t="shared" si="5"/>
        <v>0</v>
      </c>
      <c r="J45" s="13">
        <f t="shared" si="6"/>
        <v>0</v>
      </c>
      <c r="K45" s="15"/>
    </row>
    <row r="46" spans="1:11" ht="38.25" hidden="1" x14ac:dyDescent="0.3">
      <c r="A46" s="24">
        <v>40</v>
      </c>
      <c r="B46" s="30" t="s">
        <v>102</v>
      </c>
      <c r="C46" s="37" t="s">
        <v>103</v>
      </c>
      <c r="D46" s="38" t="s">
        <v>66</v>
      </c>
      <c r="E46" s="42">
        <v>1030000</v>
      </c>
      <c r="F46" s="42">
        <v>221450</v>
      </c>
      <c r="G46" s="13"/>
      <c r="H46" s="13">
        <f t="shared" si="4"/>
        <v>0</v>
      </c>
      <c r="I46" s="13">
        <f t="shared" si="5"/>
        <v>0</v>
      </c>
      <c r="J46" s="13">
        <f t="shared" si="6"/>
        <v>0</v>
      </c>
      <c r="K46" s="15"/>
    </row>
    <row r="47" spans="1:11" hidden="1" x14ac:dyDescent="0.3">
      <c r="A47" s="24">
        <v>41</v>
      </c>
      <c r="B47" s="30" t="s">
        <v>104</v>
      </c>
      <c r="C47" s="37" t="s">
        <v>105</v>
      </c>
      <c r="D47" s="38" t="s">
        <v>106</v>
      </c>
      <c r="E47" s="42">
        <v>30900</v>
      </c>
      <c r="F47" s="42">
        <v>12360</v>
      </c>
      <c r="G47" s="13"/>
      <c r="H47" s="13">
        <f t="shared" si="4"/>
        <v>0</v>
      </c>
      <c r="I47" s="13">
        <f t="shared" si="5"/>
        <v>0</v>
      </c>
      <c r="J47" s="13">
        <f t="shared" si="6"/>
        <v>0</v>
      </c>
      <c r="K47" s="15"/>
    </row>
    <row r="48" spans="1:11" hidden="1" x14ac:dyDescent="0.3">
      <c r="A48" s="24">
        <v>42</v>
      </c>
      <c r="B48" s="30" t="s">
        <v>107</v>
      </c>
      <c r="C48" s="37" t="s">
        <v>108</v>
      </c>
      <c r="D48" s="38" t="s">
        <v>109</v>
      </c>
      <c r="E48" s="42">
        <v>11691</v>
      </c>
      <c r="F48" s="42">
        <v>0</v>
      </c>
      <c r="G48" s="13"/>
      <c r="H48" s="13">
        <f t="shared" si="4"/>
        <v>0</v>
      </c>
      <c r="I48" s="13">
        <f t="shared" si="5"/>
        <v>0</v>
      </c>
      <c r="J48" s="13">
        <f t="shared" si="6"/>
        <v>0</v>
      </c>
      <c r="K48" s="15"/>
    </row>
    <row r="49" spans="1:11" hidden="1" x14ac:dyDescent="0.3">
      <c r="A49" s="24">
        <v>43</v>
      </c>
      <c r="B49" s="30" t="s">
        <v>110</v>
      </c>
      <c r="C49" s="37" t="s">
        <v>111</v>
      </c>
      <c r="D49" s="38" t="s">
        <v>52</v>
      </c>
      <c r="E49" s="42">
        <v>2029</v>
      </c>
      <c r="F49" s="42">
        <v>1807</v>
      </c>
      <c r="G49" s="13"/>
      <c r="H49" s="13">
        <f t="shared" si="4"/>
        <v>0</v>
      </c>
      <c r="I49" s="13">
        <f t="shared" si="5"/>
        <v>0</v>
      </c>
      <c r="J49" s="13">
        <f t="shared" si="6"/>
        <v>0</v>
      </c>
      <c r="K49" s="15"/>
    </row>
    <row r="50" spans="1:11" ht="25.5" hidden="1" x14ac:dyDescent="0.3">
      <c r="A50" s="24">
        <v>44</v>
      </c>
      <c r="B50" s="30" t="s">
        <v>112</v>
      </c>
      <c r="C50" s="37" t="s">
        <v>113</v>
      </c>
      <c r="D50" s="38" t="s">
        <v>66</v>
      </c>
      <c r="E50" s="42">
        <v>0</v>
      </c>
      <c r="F50" s="42">
        <v>267800</v>
      </c>
      <c r="G50" s="13"/>
      <c r="H50" s="13">
        <f t="shared" si="4"/>
        <v>0</v>
      </c>
      <c r="I50" s="13">
        <f t="shared" si="5"/>
        <v>0</v>
      </c>
      <c r="J50" s="13">
        <f t="shared" si="6"/>
        <v>0</v>
      </c>
      <c r="K50" s="15"/>
    </row>
    <row r="51" spans="1:11" ht="25.5" hidden="1" x14ac:dyDescent="0.3">
      <c r="A51" s="24">
        <v>45</v>
      </c>
      <c r="B51" s="30" t="s">
        <v>114</v>
      </c>
      <c r="C51" s="37" t="s">
        <v>115</v>
      </c>
      <c r="D51" s="38" t="s">
        <v>52</v>
      </c>
      <c r="E51" s="42">
        <v>0</v>
      </c>
      <c r="F51" s="42">
        <v>403</v>
      </c>
      <c r="G51" s="13"/>
      <c r="H51" s="13">
        <f t="shared" si="4"/>
        <v>0</v>
      </c>
      <c r="I51" s="13">
        <f t="shared" si="5"/>
        <v>0</v>
      </c>
      <c r="J51" s="13">
        <f t="shared" si="6"/>
        <v>0</v>
      </c>
      <c r="K51" s="15"/>
    </row>
    <row r="52" spans="1:11" ht="38.25" hidden="1" x14ac:dyDescent="0.3">
      <c r="A52" s="24">
        <v>46</v>
      </c>
      <c r="B52" s="30" t="s">
        <v>116</v>
      </c>
      <c r="C52" s="37" t="s">
        <v>117</v>
      </c>
      <c r="D52" s="38" t="s">
        <v>72</v>
      </c>
      <c r="E52" s="42">
        <v>332</v>
      </c>
      <c r="F52" s="42">
        <v>0</v>
      </c>
      <c r="G52" s="13"/>
      <c r="H52" s="13">
        <f t="shared" si="4"/>
        <v>0</v>
      </c>
      <c r="I52" s="13">
        <f t="shared" si="5"/>
        <v>0</v>
      </c>
      <c r="J52" s="13">
        <f t="shared" si="6"/>
        <v>0</v>
      </c>
      <c r="K52" s="15"/>
    </row>
    <row r="53" spans="1:11" hidden="1" x14ac:dyDescent="0.3">
      <c r="A53" s="24">
        <v>47</v>
      </c>
      <c r="B53" s="30" t="s">
        <v>118</v>
      </c>
      <c r="C53" s="37" t="s">
        <v>119</v>
      </c>
      <c r="D53" s="38" t="s">
        <v>72</v>
      </c>
      <c r="E53" s="42">
        <v>9476</v>
      </c>
      <c r="F53" s="42">
        <v>0</v>
      </c>
      <c r="G53" s="13"/>
      <c r="H53" s="13">
        <f t="shared" si="4"/>
        <v>0</v>
      </c>
      <c r="I53" s="13">
        <f t="shared" si="5"/>
        <v>0</v>
      </c>
      <c r="J53" s="13">
        <f t="shared" si="6"/>
        <v>0</v>
      </c>
      <c r="K53" s="15"/>
    </row>
    <row r="54" spans="1:11" hidden="1" x14ac:dyDescent="0.3">
      <c r="A54" s="24">
        <v>48</v>
      </c>
      <c r="B54" s="30" t="s">
        <v>120</v>
      </c>
      <c r="C54" s="37" t="s">
        <v>121</v>
      </c>
      <c r="D54" s="38" t="s">
        <v>52</v>
      </c>
      <c r="E54" s="42">
        <v>124</v>
      </c>
      <c r="F54" s="42">
        <v>0</v>
      </c>
      <c r="G54" s="13"/>
      <c r="H54" s="13">
        <f t="shared" ref="H54:H60" si="7">E54*G54</f>
        <v>0</v>
      </c>
      <c r="I54" s="13">
        <f t="shared" ref="I54:I60" si="8">F54*G54</f>
        <v>0</v>
      </c>
      <c r="J54" s="13">
        <f t="shared" ref="J54:J60" si="9">SUM(H54:I54)</f>
        <v>0</v>
      </c>
      <c r="K54" s="15"/>
    </row>
    <row r="55" spans="1:11" ht="25.5" hidden="1" x14ac:dyDescent="0.3">
      <c r="A55" s="24">
        <v>49</v>
      </c>
      <c r="B55" s="30" t="s">
        <v>114</v>
      </c>
      <c r="C55" s="37" t="s">
        <v>122</v>
      </c>
      <c r="D55" s="38" t="s">
        <v>52</v>
      </c>
      <c r="E55" s="42">
        <v>0</v>
      </c>
      <c r="F55" s="42">
        <v>403</v>
      </c>
      <c r="G55" s="13"/>
      <c r="H55" s="13">
        <f t="shared" si="7"/>
        <v>0</v>
      </c>
      <c r="I55" s="13">
        <f t="shared" si="8"/>
        <v>0</v>
      </c>
      <c r="J55" s="13">
        <f t="shared" si="9"/>
        <v>0</v>
      </c>
      <c r="K55" s="15"/>
    </row>
    <row r="56" spans="1:11" hidden="1" x14ac:dyDescent="0.3">
      <c r="A56" s="24">
        <v>50</v>
      </c>
      <c r="B56" s="30" t="s">
        <v>123</v>
      </c>
      <c r="C56" s="37" t="s">
        <v>124</v>
      </c>
      <c r="D56" s="38" t="s">
        <v>14</v>
      </c>
      <c r="E56" s="42">
        <v>32960</v>
      </c>
      <c r="F56" s="42">
        <v>0</v>
      </c>
      <c r="G56" s="13"/>
      <c r="H56" s="13">
        <f t="shared" si="7"/>
        <v>0</v>
      </c>
      <c r="I56" s="13">
        <f t="shared" si="8"/>
        <v>0</v>
      </c>
      <c r="J56" s="13">
        <f t="shared" si="9"/>
        <v>0</v>
      </c>
      <c r="K56" s="15"/>
    </row>
    <row r="57" spans="1:11" hidden="1" x14ac:dyDescent="0.3">
      <c r="A57" s="24">
        <v>51</v>
      </c>
      <c r="B57" s="30" t="s">
        <v>125</v>
      </c>
      <c r="C57" s="37" t="s">
        <v>126</v>
      </c>
      <c r="D57" s="38" t="s">
        <v>72</v>
      </c>
      <c r="E57" s="42">
        <v>16094</v>
      </c>
      <c r="F57" s="42">
        <v>0</v>
      </c>
      <c r="G57" s="13"/>
      <c r="H57" s="13">
        <f t="shared" si="7"/>
        <v>0</v>
      </c>
      <c r="I57" s="13">
        <f t="shared" si="8"/>
        <v>0</v>
      </c>
      <c r="J57" s="13">
        <f t="shared" si="9"/>
        <v>0</v>
      </c>
      <c r="K57" s="15"/>
    </row>
    <row r="58" spans="1:11" ht="25.5" hidden="1" x14ac:dyDescent="0.3">
      <c r="A58" s="24">
        <v>52</v>
      </c>
      <c r="B58" s="30" t="s">
        <v>127</v>
      </c>
      <c r="C58" s="37" t="s">
        <v>128</v>
      </c>
      <c r="D58" s="38" t="s">
        <v>129</v>
      </c>
      <c r="E58" s="42">
        <v>85490</v>
      </c>
      <c r="F58" s="42">
        <v>0</v>
      </c>
      <c r="G58" s="13"/>
      <c r="H58" s="13">
        <f t="shared" si="7"/>
        <v>0</v>
      </c>
      <c r="I58" s="13">
        <f t="shared" si="8"/>
        <v>0</v>
      </c>
      <c r="J58" s="13">
        <f t="shared" si="9"/>
        <v>0</v>
      </c>
      <c r="K58" s="15"/>
    </row>
    <row r="59" spans="1:11" hidden="1" x14ac:dyDescent="0.3">
      <c r="A59" s="24">
        <v>53</v>
      </c>
      <c r="B59" s="30" t="s">
        <v>130</v>
      </c>
      <c r="C59" s="37" t="s">
        <v>131</v>
      </c>
      <c r="D59" s="38" t="s">
        <v>14</v>
      </c>
      <c r="E59" s="42">
        <v>38754</v>
      </c>
      <c r="F59" s="42">
        <v>0</v>
      </c>
      <c r="G59" s="13"/>
      <c r="H59" s="13">
        <f t="shared" si="7"/>
        <v>0</v>
      </c>
      <c r="I59" s="13">
        <f t="shared" si="8"/>
        <v>0</v>
      </c>
      <c r="J59" s="13">
        <f t="shared" si="9"/>
        <v>0</v>
      </c>
      <c r="K59" s="15"/>
    </row>
    <row r="60" spans="1:11" hidden="1" x14ac:dyDescent="0.3">
      <c r="A60" s="24">
        <v>54</v>
      </c>
      <c r="B60" s="30" t="s">
        <v>132</v>
      </c>
      <c r="C60" s="37" t="s">
        <v>133</v>
      </c>
      <c r="D60" s="38" t="s">
        <v>129</v>
      </c>
      <c r="E60" s="42">
        <v>6695</v>
      </c>
      <c r="F60" s="42">
        <v>0</v>
      </c>
      <c r="G60" s="13"/>
      <c r="H60" s="13">
        <f t="shared" si="7"/>
        <v>0</v>
      </c>
      <c r="I60" s="13">
        <f t="shared" si="8"/>
        <v>0</v>
      </c>
      <c r="J60" s="13">
        <f t="shared" si="9"/>
        <v>0</v>
      </c>
      <c r="K60" s="15"/>
    </row>
    <row r="61" spans="1:11" ht="15.6" customHeight="1" x14ac:dyDescent="0.3">
      <c r="A61" s="43" t="s">
        <v>7</v>
      </c>
      <c r="B61" s="43"/>
      <c r="C61" s="43"/>
      <c r="D61" s="16"/>
      <c r="E61" s="16"/>
      <c r="F61" s="16"/>
      <c r="G61" s="17">
        <f>SUMPRODUCT($E$7:$E$60,G$7:G$60)</f>
        <v>2361932</v>
      </c>
      <c r="H61" s="44">
        <f>SUM(H7:H60)</f>
        <v>2361932</v>
      </c>
      <c r="I61" s="44"/>
      <c r="J61" s="44"/>
      <c r="K61" s="18"/>
    </row>
    <row r="62" spans="1:11" x14ac:dyDescent="0.3">
      <c r="A62" s="43" t="s">
        <v>8</v>
      </c>
      <c r="B62" s="43"/>
      <c r="C62" s="43"/>
      <c r="D62" s="16"/>
      <c r="E62" s="16"/>
      <c r="F62" s="16"/>
      <c r="G62" s="17">
        <f>SUMPRODUCT($F$7:$F$60,G$7:G$60)</f>
        <v>1864845</v>
      </c>
      <c r="H62" s="44">
        <f>SUM(I7:I60)</f>
        <v>1864845</v>
      </c>
      <c r="I62" s="44"/>
      <c r="J62" s="44"/>
      <c r="K62" s="18"/>
    </row>
    <row r="63" spans="1:11" ht="15.6" customHeight="1" x14ac:dyDescent="0.3">
      <c r="A63" s="43" t="s">
        <v>9</v>
      </c>
      <c r="B63" s="43"/>
      <c r="C63" s="43"/>
      <c r="D63" s="16"/>
      <c r="E63" s="16"/>
      <c r="F63" s="16"/>
      <c r="G63" s="17">
        <f>SUM(G61:G62)</f>
        <v>4226777</v>
      </c>
      <c r="H63" s="44">
        <f>H61+H62</f>
        <v>4226777</v>
      </c>
      <c r="I63" s="44"/>
      <c r="J63" s="44"/>
      <c r="K63" s="18"/>
    </row>
    <row r="64" spans="1:11" hidden="1" x14ac:dyDescent="0.3">
      <c r="G64" s="21"/>
      <c r="J64" s="22" t="b">
        <f>H63=G63</f>
        <v>1</v>
      </c>
    </row>
  </sheetData>
  <autoFilter ref="A6:WZA64" xr:uid="{300C2C76-D5C9-4441-9DE6-CD6019C8EDB3}">
    <filterColumn colId="6">
      <customFilters>
        <customFilter operator="notEqual" val=" "/>
      </customFilters>
    </filterColumn>
  </autoFilter>
  <mergeCells count="14">
    <mergeCell ref="K4:K5"/>
    <mergeCell ref="H4:J4"/>
    <mergeCell ref="G4:G5"/>
    <mergeCell ref="A4:A5"/>
    <mergeCell ref="B4:B5"/>
    <mergeCell ref="C4:C5"/>
    <mergeCell ref="D4:D5"/>
    <mergeCell ref="E4:F4"/>
    <mergeCell ref="A61:C61"/>
    <mergeCell ref="H61:J61"/>
    <mergeCell ref="A62:C62"/>
    <mergeCell ref="H62:J62"/>
    <mergeCell ref="A63:C63"/>
    <mergeCell ref="H63:J63"/>
  </mergeCells>
  <pageMargins left="0.7" right="0.7" top="0.75" bottom="0.75" header="0.3" footer="0.3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BoQ</vt:lpstr>
      <vt:lpstr>BoQ!Print_Area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Andre Saputra</cp:lastModifiedBy>
  <dcterms:created xsi:type="dcterms:W3CDTF">2020-12-11T06:26:35Z</dcterms:created>
  <dcterms:modified xsi:type="dcterms:W3CDTF">2026-05-08T07:31:50Z</dcterms:modified>
</cp:coreProperties>
</file>